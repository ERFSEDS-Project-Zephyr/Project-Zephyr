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rhfa\Desktop\Zephyr\Zephyr MK3\Data Files\"/>
    </mc:Choice>
  </mc:AlternateContent>
  <xr:revisionPtr revIDLastSave="0" documentId="13_ncr:1_{BAEEBBE1-1BE4-4EC5-8181-1FCBC771B48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KdzMtP/nKjO7Mc4XM9WigezNcq1OhBGBmX2ggQ9abs="/>
    </ext>
  </extLst>
</workbook>
</file>

<file path=xl/calcChain.xml><?xml version="1.0" encoding="utf-8"?>
<calcChain xmlns="http://schemas.openxmlformats.org/spreadsheetml/2006/main">
  <c r="O19" i="1" l="1"/>
  <c r="O6" i="1"/>
</calcChain>
</file>

<file path=xl/sharedStrings.xml><?xml version="1.0" encoding="utf-8"?>
<sst xmlns="http://schemas.openxmlformats.org/spreadsheetml/2006/main" count="119" uniqueCount="97">
  <si>
    <t>Setup</t>
  </si>
  <si>
    <t>Body Dims</t>
  </si>
  <si>
    <t>Fin Dims</t>
  </si>
  <si>
    <t>Fin Set 1</t>
  </si>
  <si>
    <t>Fin Set 2</t>
  </si>
  <si>
    <t>Point-Mass Distribution</t>
  </si>
  <si>
    <t>Number of Fins</t>
  </si>
  <si>
    <t>Fin Resolution</t>
  </si>
  <si>
    <t>Number of Stages</t>
  </si>
  <si>
    <t>Dart Avionics</t>
  </si>
  <si>
    <t>Specific Heat Ratio</t>
  </si>
  <si>
    <t>Ballast</t>
  </si>
  <si>
    <t>Dart Shock Cord</t>
  </si>
  <si>
    <t>Experimental Shock Cord</t>
  </si>
  <si>
    <t>Stage Coupler Tube</t>
  </si>
  <si>
    <t>Booster Drogue</t>
  </si>
  <si>
    <t>Booster Main Chute</t>
  </si>
  <si>
    <t>Dart Main Chute</t>
  </si>
  <si>
    <t>Experimental Chute</t>
  </si>
  <si>
    <t>Booster Shock Cord</t>
  </si>
  <si>
    <t>Booster Avionics</t>
  </si>
  <si>
    <t>Motor (L2200G)</t>
  </si>
  <si>
    <t>Metal Tip</t>
  </si>
  <si>
    <t>Threaded Rod</t>
  </si>
  <si>
    <t>Mass (lb)</t>
  </si>
  <si>
    <t>Length (in)</t>
  </si>
  <si>
    <t>in</t>
  </si>
  <si>
    <t>Gas Constant</t>
  </si>
  <si>
    <t>psi</t>
  </si>
  <si>
    <t>ft-lbf/slug-°R</t>
  </si>
  <si>
    <t>°F</t>
  </si>
  <si>
    <t>M</t>
  </si>
  <si>
    <t>deg.</t>
  </si>
  <si>
    <t>Angle of Attack Increment</t>
  </si>
  <si>
    <t>Max Angle of Attack</t>
  </si>
  <si>
    <t>Min Angle of Attack</t>
  </si>
  <si>
    <t>Velocity Increment</t>
  </si>
  <si>
    <t>Max Velocity</t>
  </si>
  <si>
    <t>Min Velocity</t>
  </si>
  <si>
    <t>Ambient Temperature</t>
  </si>
  <si>
    <t>Ambient Pressure</t>
  </si>
  <si>
    <t>Parameter Name</t>
  </si>
  <si>
    <t>Unit</t>
  </si>
  <si>
    <t>Value</t>
  </si>
  <si>
    <t>Units</t>
  </si>
  <si>
    <t>Tip Chord</t>
  </si>
  <si>
    <t>Root Chord</t>
  </si>
  <si>
    <t>Height</t>
  </si>
  <si>
    <t>Leading Edge Sweep Distance</t>
  </si>
  <si>
    <t>Fin Thickness</t>
  </si>
  <si>
    <t>Leading Edge Taper Length</t>
  </si>
  <si>
    <t>Trailing Edge Taper Length</t>
  </si>
  <si>
    <t>Leading Edge Distance from Nose Tip</t>
  </si>
  <si>
    <t>lb/ft^3</t>
  </si>
  <si>
    <t>Fin Density</t>
  </si>
  <si>
    <t>Body Density</t>
  </si>
  <si>
    <t>Nose Cone Length</t>
  </si>
  <si>
    <t>Body Inner Diameter</t>
  </si>
  <si>
    <t>Body Outer Diameter</t>
  </si>
  <si>
    <t>Component Name</t>
  </si>
  <si>
    <t>Deployment Bulkhead</t>
  </si>
  <si>
    <t>Separation Bulkhead</t>
  </si>
  <si>
    <t>Separation Coupler Tube</t>
  </si>
  <si>
    <t>Distance from Nose Tip (in)</t>
  </si>
  <si>
    <t>Dart Drogue Chute</t>
  </si>
  <si>
    <t>Symbol</t>
  </si>
  <si>
    <t>gamma</t>
  </si>
  <si>
    <t>R</t>
  </si>
  <si>
    <t>p_atm</t>
  </si>
  <si>
    <t>T_atm</t>
  </si>
  <si>
    <t>mach_min</t>
  </si>
  <si>
    <t>mach_max</t>
  </si>
  <si>
    <t>mach_inc</t>
  </si>
  <si>
    <t>alpha_min</t>
  </si>
  <si>
    <t>alpha_max</t>
  </si>
  <si>
    <t>alpha_inc</t>
  </si>
  <si>
    <t>bodyOuterDiameter</t>
  </si>
  <si>
    <t>bodyInnerDiameter</t>
  </si>
  <si>
    <t>noseLength</t>
  </si>
  <si>
    <t>bodyDensity</t>
  </si>
  <si>
    <t>finDensity</t>
  </si>
  <si>
    <t>finRes</t>
  </si>
  <si>
    <t>numStages</t>
  </si>
  <si>
    <t>numFins</t>
  </si>
  <si>
    <t>rootChord</t>
  </si>
  <si>
    <t>tipChord</t>
  </si>
  <si>
    <t>height</t>
  </si>
  <si>
    <t>sweepLength</t>
  </si>
  <si>
    <t>thickness</t>
  </si>
  <si>
    <t>leadTaperLength</t>
  </si>
  <si>
    <t>trailTaperLength</t>
  </si>
  <si>
    <t>leadDistance</t>
  </si>
  <si>
    <t>Trailing Edge Distance from Stage End</t>
  </si>
  <si>
    <t>trailDistance</t>
  </si>
  <si>
    <t>Surface Gravity</t>
  </si>
  <si>
    <t>ft/s^2</t>
  </si>
  <si>
    <t>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</si>
</sst>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/>
    <xf numFmtId="0" fontId="0" fillId="2" borderId="0" xfId="0" applyFill="1"/>
    <xf numFmtId="164" fontId="0" fillId="2" borderId="0" xfId="0" applyNumberFormat="1" applyFill="1"/>
    <xf numFmtId="0" fontId="5" fillId="2" borderId="7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165" fontId="4" fillId="2" borderId="9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2" borderId="13" xfId="0" applyFill="1" applyBorder="1"/>
    <xf numFmtId="0" fontId="2" fillId="2" borderId="13" xfId="0" applyFont="1" applyFill="1" applyBorder="1"/>
    <xf numFmtId="0" fontId="5" fillId="2" borderId="13" xfId="0" applyFont="1" applyFill="1" applyBorder="1"/>
    <xf numFmtId="0" fontId="0" fillId="2" borderId="3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13" xfId="0" applyFont="1" applyFill="1" applyBorder="1"/>
    <xf numFmtId="0" fontId="6" fillId="2" borderId="1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7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4"/>
  <sheetViews>
    <sheetView tabSelected="1" topLeftCell="M8" zoomScale="195" zoomScaleNormal="100" workbookViewId="0">
      <selection activeCell="R20" sqref="R20"/>
    </sheetView>
  </sheetViews>
  <sheetFormatPr defaultColWidth="14.44140625" defaultRowHeight="15" customHeight="1" x14ac:dyDescent="0.3"/>
  <cols>
    <col min="1" max="1" width="23.33203125" style="12" bestFit="1" customWidth="1"/>
    <col min="2" max="2" width="11.77734375" style="15" bestFit="1" customWidth="1"/>
    <col min="3" max="3" width="10.109375" style="15" bestFit="1" customWidth="1"/>
    <col min="4" max="4" width="7.5546875" style="5" bestFit="1" customWidth="1"/>
    <col min="5" max="5" width="19.109375" style="12" bestFit="1" customWidth="1"/>
    <col min="6" max="6" width="6.6640625" style="15" bestFit="1" customWidth="1"/>
    <col min="7" max="7" width="18.109375" style="15" bestFit="1" customWidth="1"/>
    <col min="8" max="8" width="7.5546875" style="5" bestFit="1" customWidth="1"/>
    <col min="9" max="9" width="32.5546875" style="12" bestFit="1" customWidth="1"/>
    <col min="10" max="10" width="5.44140625" style="15" bestFit="1" customWidth="1"/>
    <col min="11" max="11" width="15.21875" style="15" bestFit="1" customWidth="1"/>
    <col min="12" max="12" width="8.109375" style="15" bestFit="1" customWidth="1"/>
    <col min="13" max="13" width="8.109375" style="5" bestFit="1" customWidth="1"/>
    <col min="14" max="14" width="22.21875" style="12" bestFit="1" customWidth="1"/>
    <col min="15" max="15" width="8.77734375" style="15" bestFit="1" customWidth="1"/>
    <col min="16" max="16" width="10" style="15" bestFit="1" customWidth="1"/>
    <col min="17" max="17" width="24.21875" style="5" bestFit="1" customWidth="1"/>
    <col min="18" max="18" width="8.6640625" style="1" customWidth="1"/>
    <col min="19" max="31" width="8.6640625" style="2" customWidth="1"/>
    <col min="32" max="16384" width="14.44140625" style="2"/>
  </cols>
  <sheetData>
    <row r="1" spans="1:19" ht="14.25" customHeight="1" thickBot="1" x14ac:dyDescent="0.35">
      <c r="A1" s="30" t="s">
        <v>0</v>
      </c>
      <c r="B1" s="31"/>
      <c r="C1" s="31"/>
      <c r="D1" s="32"/>
      <c r="E1" s="30" t="s">
        <v>1</v>
      </c>
      <c r="F1" s="31"/>
      <c r="G1" s="31"/>
      <c r="H1" s="32"/>
      <c r="I1" s="30" t="s">
        <v>2</v>
      </c>
      <c r="J1" s="31"/>
      <c r="K1" s="31"/>
      <c r="L1" s="31"/>
      <c r="M1" s="32"/>
      <c r="N1" s="33" t="s">
        <v>5</v>
      </c>
      <c r="O1" s="34"/>
      <c r="P1" s="34"/>
      <c r="Q1" s="35"/>
    </row>
    <row r="2" spans="1:19" ht="14.25" customHeight="1" thickBot="1" x14ac:dyDescent="0.35">
      <c r="A2" s="4" t="s">
        <v>41</v>
      </c>
      <c r="B2" s="10" t="s">
        <v>42</v>
      </c>
      <c r="C2" s="10" t="s">
        <v>65</v>
      </c>
      <c r="D2" s="11" t="s">
        <v>43</v>
      </c>
      <c r="E2" s="4" t="s">
        <v>41</v>
      </c>
      <c r="F2" s="10" t="s">
        <v>42</v>
      </c>
      <c r="G2" s="10" t="s">
        <v>65</v>
      </c>
      <c r="H2" s="11" t="s">
        <v>43</v>
      </c>
      <c r="I2" s="22" t="s">
        <v>41</v>
      </c>
      <c r="J2" s="23" t="s">
        <v>44</v>
      </c>
      <c r="K2" s="10" t="s">
        <v>65</v>
      </c>
      <c r="L2" s="10" t="s">
        <v>3</v>
      </c>
      <c r="M2" s="11" t="s">
        <v>4</v>
      </c>
      <c r="N2" s="22" t="s">
        <v>59</v>
      </c>
      <c r="O2" s="10" t="s">
        <v>24</v>
      </c>
      <c r="P2" s="10" t="s">
        <v>25</v>
      </c>
      <c r="Q2" s="27" t="s">
        <v>63</v>
      </c>
    </row>
    <row r="3" spans="1:19" ht="14.25" customHeight="1" x14ac:dyDescent="0.3">
      <c r="A3" s="12" t="s">
        <v>10</v>
      </c>
      <c r="B3" s="15">
        <v>1</v>
      </c>
      <c r="C3" s="15" t="s">
        <v>66</v>
      </c>
      <c r="D3" s="5">
        <v>1.4</v>
      </c>
      <c r="E3" s="18" t="s">
        <v>58</v>
      </c>
      <c r="F3" s="21" t="s">
        <v>26</v>
      </c>
      <c r="G3" s="21" t="s">
        <v>76</v>
      </c>
      <c r="H3" s="6">
        <v>3.12</v>
      </c>
      <c r="I3" s="14" t="s">
        <v>6</v>
      </c>
      <c r="J3" s="17">
        <v>1</v>
      </c>
      <c r="K3" s="17" t="s">
        <v>83</v>
      </c>
      <c r="L3" s="24">
        <v>4</v>
      </c>
      <c r="M3" s="7">
        <v>4</v>
      </c>
      <c r="N3" s="12" t="s">
        <v>22</v>
      </c>
      <c r="O3" s="15">
        <v>3.4000000000000002E-2</v>
      </c>
      <c r="P3" s="15">
        <v>1.625</v>
      </c>
      <c r="Q3" s="5">
        <v>0</v>
      </c>
    </row>
    <row r="4" spans="1:19" ht="14.25" customHeight="1" x14ac:dyDescent="0.3">
      <c r="A4" s="12" t="s">
        <v>27</v>
      </c>
      <c r="B4" s="15" t="s">
        <v>29</v>
      </c>
      <c r="C4" s="15" t="s">
        <v>67</v>
      </c>
      <c r="D4" s="5">
        <v>1716</v>
      </c>
      <c r="E4" s="13" t="s">
        <v>57</v>
      </c>
      <c r="F4" s="16" t="s">
        <v>26</v>
      </c>
      <c r="G4" s="29" t="s">
        <v>77</v>
      </c>
      <c r="H4" s="5">
        <v>3</v>
      </c>
      <c r="I4" s="18" t="s">
        <v>46</v>
      </c>
      <c r="J4" s="17" t="s">
        <v>26</v>
      </c>
      <c r="K4" s="21" t="s">
        <v>84</v>
      </c>
      <c r="L4" s="25">
        <v>4.6879999999999997</v>
      </c>
      <c r="M4" s="8">
        <v>6.3280000000000003</v>
      </c>
      <c r="N4" s="14" t="s">
        <v>11</v>
      </c>
      <c r="O4" s="17">
        <v>0</v>
      </c>
      <c r="P4" s="17">
        <v>0</v>
      </c>
      <c r="Q4" s="6">
        <v>0</v>
      </c>
    </row>
    <row r="5" spans="1:19" ht="14.25" customHeight="1" x14ac:dyDescent="0.3">
      <c r="A5" s="12" t="s">
        <v>94</v>
      </c>
      <c r="B5" s="15" t="s">
        <v>95</v>
      </c>
      <c r="C5" s="15" t="s">
        <v>96</v>
      </c>
      <c r="D5" s="5">
        <v>32.173999999999999</v>
      </c>
      <c r="E5" s="18" t="s">
        <v>56</v>
      </c>
      <c r="F5" s="21" t="s">
        <v>26</v>
      </c>
      <c r="G5" s="21" t="s">
        <v>78</v>
      </c>
      <c r="H5" s="6">
        <v>15</v>
      </c>
      <c r="I5" s="18" t="s">
        <v>45</v>
      </c>
      <c r="J5" s="17" t="s">
        <v>26</v>
      </c>
      <c r="K5" s="21" t="s">
        <v>85</v>
      </c>
      <c r="L5" s="25">
        <v>2.375</v>
      </c>
      <c r="M5" s="8">
        <v>3.3279999999999998</v>
      </c>
      <c r="N5" s="12" t="s">
        <v>23</v>
      </c>
      <c r="O5" s="15">
        <v>0.27300000000000002</v>
      </c>
      <c r="P5" s="15">
        <v>13.5</v>
      </c>
      <c r="Q5" s="5">
        <v>1.625</v>
      </c>
    </row>
    <row r="6" spans="1:19" ht="14.25" customHeight="1" x14ac:dyDescent="0.3">
      <c r="A6" s="12" t="s">
        <v>40</v>
      </c>
      <c r="B6" s="15" t="s">
        <v>28</v>
      </c>
      <c r="C6" s="15" t="s">
        <v>68</v>
      </c>
      <c r="D6" s="5">
        <v>14.696</v>
      </c>
      <c r="E6" s="18" t="s">
        <v>55</v>
      </c>
      <c r="F6" s="17" t="s">
        <v>53</v>
      </c>
      <c r="G6" s="21" t="s">
        <v>79</v>
      </c>
      <c r="H6" s="5">
        <v>124</v>
      </c>
      <c r="I6" s="18" t="s">
        <v>47</v>
      </c>
      <c r="J6" s="17" t="s">
        <v>26</v>
      </c>
      <c r="K6" s="21" t="s">
        <v>86</v>
      </c>
      <c r="L6" s="25">
        <v>2.6019999999999999</v>
      </c>
      <c r="M6" s="8">
        <v>4.7969999999999997</v>
      </c>
      <c r="N6" s="18" t="s">
        <v>9</v>
      </c>
      <c r="O6" s="21">
        <f>0.622+0.05+1.98+0.217</f>
        <v>2.8690000000000002</v>
      </c>
      <c r="P6" s="17">
        <v>15</v>
      </c>
      <c r="Q6" s="6">
        <v>15.5</v>
      </c>
    </row>
    <row r="7" spans="1:19" ht="14.25" customHeight="1" x14ac:dyDescent="0.3">
      <c r="A7" s="13" t="s">
        <v>39</v>
      </c>
      <c r="B7" s="16" t="s">
        <v>30</v>
      </c>
      <c r="C7" s="29" t="s">
        <v>69</v>
      </c>
      <c r="D7" s="5">
        <v>59</v>
      </c>
      <c r="E7" s="19" t="s">
        <v>54</v>
      </c>
      <c r="F7" s="17" t="s">
        <v>53</v>
      </c>
      <c r="G7" s="21" t="s">
        <v>80</v>
      </c>
      <c r="H7" s="6">
        <v>83.8</v>
      </c>
      <c r="I7" s="18" t="s">
        <v>48</v>
      </c>
      <c r="J7" s="17" t="s">
        <v>26</v>
      </c>
      <c r="K7" s="21" t="s">
        <v>87</v>
      </c>
      <c r="L7" s="25">
        <v>2.3130000000000002</v>
      </c>
      <c r="M7" s="8">
        <v>3</v>
      </c>
      <c r="N7" s="14" t="s">
        <v>12</v>
      </c>
      <c r="O7" s="17">
        <v>0.22</v>
      </c>
      <c r="P7" s="17">
        <v>2</v>
      </c>
      <c r="Q7" s="6">
        <v>30</v>
      </c>
    </row>
    <row r="8" spans="1:19" ht="14.25" customHeight="1" x14ac:dyDescent="0.3">
      <c r="A8" s="14" t="s">
        <v>38</v>
      </c>
      <c r="B8" s="17" t="s">
        <v>31</v>
      </c>
      <c r="C8" s="17" t="s">
        <v>70</v>
      </c>
      <c r="D8" s="6">
        <v>0</v>
      </c>
      <c r="E8" s="18"/>
      <c r="F8" s="21"/>
      <c r="G8" s="21"/>
      <c r="I8" s="18" t="s">
        <v>49</v>
      </c>
      <c r="J8" s="17" t="s">
        <v>26</v>
      </c>
      <c r="K8" s="21" t="s">
        <v>88</v>
      </c>
      <c r="L8" s="26">
        <v>0.25</v>
      </c>
      <c r="M8" s="9">
        <v>0.25</v>
      </c>
      <c r="N8" s="18" t="s">
        <v>64</v>
      </c>
      <c r="O8" s="17">
        <v>1.7999999999999999E-2</v>
      </c>
      <c r="P8" s="17">
        <v>4.5</v>
      </c>
      <c r="Q8" s="6">
        <v>32</v>
      </c>
    </row>
    <row r="9" spans="1:19" ht="14.4" x14ac:dyDescent="0.3">
      <c r="A9" s="14" t="s">
        <v>37</v>
      </c>
      <c r="B9" s="17" t="s">
        <v>31</v>
      </c>
      <c r="C9" s="17" t="s">
        <v>71</v>
      </c>
      <c r="D9" s="6">
        <v>2</v>
      </c>
      <c r="E9" s="18"/>
      <c r="F9" s="21"/>
      <c r="G9" s="21"/>
      <c r="I9" s="18" t="s">
        <v>50</v>
      </c>
      <c r="J9" s="17" t="s">
        <v>26</v>
      </c>
      <c r="K9" s="21" t="s">
        <v>89</v>
      </c>
      <c r="L9" s="24">
        <v>0</v>
      </c>
      <c r="M9" s="7">
        <v>0</v>
      </c>
      <c r="N9" s="14" t="s">
        <v>17</v>
      </c>
      <c r="O9" s="17">
        <v>0.35299999999999998</v>
      </c>
      <c r="P9" s="17">
        <v>8</v>
      </c>
      <c r="Q9" s="6">
        <v>36.5</v>
      </c>
    </row>
    <row r="10" spans="1:19" ht="14.25" customHeight="1" x14ac:dyDescent="0.3">
      <c r="A10" s="14" t="s">
        <v>36</v>
      </c>
      <c r="B10" s="17" t="s">
        <v>31</v>
      </c>
      <c r="C10" s="17" t="s">
        <v>72</v>
      </c>
      <c r="D10" s="6">
        <v>0.01</v>
      </c>
      <c r="I10" s="18" t="s">
        <v>51</v>
      </c>
      <c r="J10" s="17" t="s">
        <v>26</v>
      </c>
      <c r="K10" s="21" t="s">
        <v>90</v>
      </c>
      <c r="L10" s="24">
        <v>0</v>
      </c>
      <c r="M10" s="7">
        <v>0</v>
      </c>
      <c r="N10" s="13" t="s">
        <v>60</v>
      </c>
      <c r="O10" s="15">
        <v>0.193</v>
      </c>
      <c r="P10" s="15">
        <v>1</v>
      </c>
      <c r="Q10" s="5">
        <v>44.5</v>
      </c>
    </row>
    <row r="11" spans="1:19" ht="14.25" customHeight="1" x14ac:dyDescent="0.3">
      <c r="A11" s="14" t="s">
        <v>35</v>
      </c>
      <c r="B11" s="17" t="s">
        <v>32</v>
      </c>
      <c r="C11" s="17" t="s">
        <v>73</v>
      </c>
      <c r="D11" s="6">
        <v>0</v>
      </c>
      <c r="I11" s="18" t="s">
        <v>52</v>
      </c>
      <c r="J11" s="17" t="s">
        <v>26</v>
      </c>
      <c r="K11" s="21" t="s">
        <v>91</v>
      </c>
      <c r="L11" s="24">
        <v>48.3</v>
      </c>
      <c r="M11" s="7">
        <v>110.7</v>
      </c>
      <c r="N11" s="14" t="s">
        <v>13</v>
      </c>
      <c r="O11" s="17">
        <v>0.22</v>
      </c>
      <c r="P11" s="17">
        <v>2</v>
      </c>
      <c r="Q11" s="6">
        <v>45.5</v>
      </c>
    </row>
    <row r="12" spans="1:19" ht="14.25" customHeight="1" x14ac:dyDescent="0.3">
      <c r="A12" s="14" t="s">
        <v>34</v>
      </c>
      <c r="B12" s="17" t="s">
        <v>32</v>
      </c>
      <c r="C12" s="17" t="s">
        <v>74</v>
      </c>
      <c r="D12" s="6">
        <v>5</v>
      </c>
      <c r="I12" s="12" t="s">
        <v>92</v>
      </c>
      <c r="J12" s="15" t="s">
        <v>26</v>
      </c>
      <c r="K12" s="15" t="s">
        <v>93</v>
      </c>
      <c r="L12" s="15">
        <v>0</v>
      </c>
      <c r="M12" s="5">
        <v>0</v>
      </c>
      <c r="N12" s="14" t="s">
        <v>18</v>
      </c>
      <c r="O12" s="15">
        <v>0.66600000000000004</v>
      </c>
      <c r="P12" s="15">
        <v>5</v>
      </c>
      <c r="Q12" s="5">
        <v>47.75</v>
      </c>
      <c r="S12" s="3"/>
    </row>
    <row r="13" spans="1:19" ht="14.25" customHeight="1" x14ac:dyDescent="0.3">
      <c r="A13" s="14" t="s">
        <v>33</v>
      </c>
      <c r="B13" s="17" t="s">
        <v>32</v>
      </c>
      <c r="C13" s="17" t="s">
        <v>75</v>
      </c>
      <c r="D13" s="6">
        <v>0.1</v>
      </c>
      <c r="I13" s="14"/>
      <c r="J13" s="17"/>
      <c r="K13" s="17"/>
      <c r="L13" s="24"/>
      <c r="M13" s="7"/>
      <c r="N13" s="18" t="s">
        <v>14</v>
      </c>
      <c r="O13" s="17">
        <v>0.66100000000000003</v>
      </c>
      <c r="P13" s="17">
        <v>12</v>
      </c>
      <c r="Q13" s="6">
        <v>45.5</v>
      </c>
    </row>
    <row r="14" spans="1:19" ht="14.25" customHeight="1" x14ac:dyDescent="0.3">
      <c r="A14" s="20" t="s">
        <v>7</v>
      </c>
      <c r="B14" s="17">
        <v>1</v>
      </c>
      <c r="C14" s="17" t="s">
        <v>81</v>
      </c>
      <c r="D14" s="6">
        <v>100</v>
      </c>
      <c r="I14" s="14"/>
      <c r="J14" s="17"/>
      <c r="K14" s="17"/>
      <c r="L14" s="24"/>
      <c r="M14" s="7"/>
      <c r="N14" s="13" t="s">
        <v>61</v>
      </c>
      <c r="O14" s="17">
        <v>0.16300000000000001</v>
      </c>
      <c r="P14" s="17">
        <v>0.25</v>
      </c>
      <c r="Q14" s="6">
        <v>57.5</v>
      </c>
    </row>
    <row r="15" spans="1:19" ht="14.25" customHeight="1" x14ac:dyDescent="0.3">
      <c r="A15" s="14" t="s">
        <v>8</v>
      </c>
      <c r="B15" s="17">
        <v>1</v>
      </c>
      <c r="C15" s="17" t="s">
        <v>82</v>
      </c>
      <c r="D15" s="6">
        <v>2</v>
      </c>
      <c r="N15" s="18" t="s">
        <v>62</v>
      </c>
      <c r="O15" s="17">
        <v>0.308</v>
      </c>
      <c r="P15" s="17">
        <v>6</v>
      </c>
      <c r="Q15" s="6">
        <v>57.75</v>
      </c>
    </row>
    <row r="16" spans="1:19" ht="14.4" x14ac:dyDescent="0.3">
      <c r="N16" s="14" t="s">
        <v>15</v>
      </c>
      <c r="O16" s="17">
        <v>2.5999999999999999E-2</v>
      </c>
      <c r="P16" s="17">
        <v>5</v>
      </c>
      <c r="Q16" s="6">
        <v>60.75</v>
      </c>
    </row>
    <row r="17" spans="14:17" ht="14.25" customHeight="1" x14ac:dyDescent="0.3">
      <c r="N17" s="14" t="s">
        <v>16</v>
      </c>
      <c r="O17" s="17">
        <v>1.32</v>
      </c>
      <c r="P17" s="17">
        <v>10</v>
      </c>
      <c r="Q17" s="5">
        <v>65.75</v>
      </c>
    </row>
    <row r="18" spans="14:17" ht="14.25" customHeight="1" x14ac:dyDescent="0.3">
      <c r="N18" s="14" t="s">
        <v>19</v>
      </c>
      <c r="O18" s="17">
        <v>2E-3</v>
      </c>
      <c r="P18" s="17">
        <v>2</v>
      </c>
      <c r="Q18" s="5">
        <v>75.75</v>
      </c>
    </row>
    <row r="19" spans="14:17" ht="14.25" customHeight="1" x14ac:dyDescent="0.3">
      <c r="N19" s="14" t="s">
        <v>20</v>
      </c>
      <c r="O19" s="17">
        <f>1.98+0.456+0.05+0.05</f>
        <v>2.5359999999999996</v>
      </c>
      <c r="P19" s="17">
        <v>11</v>
      </c>
      <c r="Q19" s="6">
        <v>77.75</v>
      </c>
    </row>
    <row r="20" spans="14:17" ht="14.25" customHeight="1" x14ac:dyDescent="0.3">
      <c r="N20" s="14" t="s">
        <v>21</v>
      </c>
      <c r="O20" s="17">
        <v>10.5</v>
      </c>
      <c r="P20" s="17">
        <v>26.75</v>
      </c>
      <c r="Q20" s="28">
        <v>89.75</v>
      </c>
    </row>
    <row r="21" spans="14:17" ht="14.25" customHeight="1" x14ac:dyDescent="0.3"/>
    <row r="22" spans="14:17" ht="14.25" customHeight="1" x14ac:dyDescent="0.3"/>
    <row r="23" spans="14:17" ht="14.25" customHeight="1" x14ac:dyDescent="0.3"/>
    <row r="24" spans="14:17" ht="14.25" customHeight="1" x14ac:dyDescent="0.3"/>
    <row r="25" spans="14:17" ht="14.25" customHeight="1" x14ac:dyDescent="0.3"/>
    <row r="26" spans="14:17" ht="14.25" customHeight="1" x14ac:dyDescent="0.3"/>
    <row r="27" spans="14:17" ht="14.25" customHeight="1" x14ac:dyDescent="0.3"/>
    <row r="28" spans="14:17" ht="14.25" customHeight="1" x14ac:dyDescent="0.3"/>
    <row r="29" spans="14:17" ht="14.25" customHeight="1" x14ac:dyDescent="0.3"/>
    <row r="30" spans="14:17" ht="14.25" customHeight="1" x14ac:dyDescent="0.3"/>
    <row r="31" spans="14:17" ht="14.25" customHeight="1" x14ac:dyDescent="0.3"/>
    <row r="32" spans="14:1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</sheetData>
  <mergeCells count="4">
    <mergeCell ref="A1:D1"/>
    <mergeCell ref="E1:H1"/>
    <mergeCell ref="I1:M1"/>
    <mergeCell ref="N1:Q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Holt</dc:creator>
  <cp:lastModifiedBy>Holt, Graham</cp:lastModifiedBy>
  <dcterms:created xsi:type="dcterms:W3CDTF">2023-09-03T15:28:03Z</dcterms:created>
  <dcterms:modified xsi:type="dcterms:W3CDTF">2026-03-01T21:16:25Z</dcterms:modified>
</cp:coreProperties>
</file>