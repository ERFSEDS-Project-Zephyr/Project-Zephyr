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99f0ff0c9aaba944/Desktop/Zephyr/FlexROC/"/>
    </mc:Choice>
  </mc:AlternateContent>
  <xr:revisionPtr revIDLastSave="97" documentId="13_ncr:1_{6DC49DC0-854C-4D21-A700-B444B22FFB89}" xr6:coauthVersionLast="47" xr6:coauthVersionMax="47" xr10:uidLastSave="{781415D4-8903-4C21-B456-36388F431181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KdzMtP/nKjO7Mc4XM9WigezNcq1OhBGBmX2ggQ9abs="/>
    </ext>
  </extLst>
</workbook>
</file>

<file path=xl/calcChain.xml><?xml version="1.0" encoding="utf-8"?>
<calcChain xmlns="http://schemas.openxmlformats.org/spreadsheetml/2006/main">
  <c r="L15" i="1" l="1"/>
  <c r="L13" i="1"/>
  <c r="J20" i="1"/>
  <c r="L25" i="1"/>
  <c r="L19" i="1"/>
  <c r="L12" i="1"/>
  <c r="L24" i="1"/>
  <c r="L23" i="1"/>
  <c r="L22" i="1"/>
  <c r="L21" i="1"/>
  <c r="L20" i="1"/>
  <c r="L18" i="1"/>
  <c r="L17" i="1"/>
  <c r="L16" i="1"/>
  <c r="L14" i="1"/>
  <c r="L11" i="1"/>
  <c r="L10" i="1"/>
  <c r="L9" i="1"/>
  <c r="L8" i="1"/>
  <c r="L7" i="1"/>
  <c r="L6" i="1"/>
  <c r="L5" i="1"/>
  <c r="L3" i="1"/>
  <c r="L2" i="1"/>
</calcChain>
</file>

<file path=xl/sharedStrings.xml><?xml version="1.0" encoding="utf-8"?>
<sst xmlns="http://schemas.openxmlformats.org/spreadsheetml/2006/main" count="66" uniqueCount="62">
  <si>
    <t>Setup</t>
  </si>
  <si>
    <t>Setup 1</t>
  </si>
  <si>
    <t>Body Dims</t>
  </si>
  <si>
    <t>Body 1</t>
  </si>
  <si>
    <t>Fin Dims</t>
  </si>
  <si>
    <t>Fin Set 1</t>
  </si>
  <si>
    <t>Fin Set 2</t>
  </si>
  <si>
    <t>Fin Set 3</t>
  </si>
  <si>
    <t>Point-Mass Distribution</t>
  </si>
  <si>
    <t>Mass (g)</t>
  </si>
  <si>
    <t>Length (cm)</t>
  </si>
  <si>
    <t>CG distance from nose tip (cm)</t>
  </si>
  <si>
    <t>Min Velocity (Mach)</t>
  </si>
  <si>
    <t>Number of Fins</t>
  </si>
  <si>
    <t>Ballast Weight</t>
  </si>
  <si>
    <t>Max Velocity (Mach)</t>
  </si>
  <si>
    <t>Root Chord (cm)</t>
  </si>
  <si>
    <t>Camera</t>
  </si>
  <si>
    <t>Velocity Increment (Mach)</t>
  </si>
  <si>
    <t>Tip Chord (cm)</t>
  </si>
  <si>
    <t>Parachute</t>
  </si>
  <si>
    <t>Min Angle of Attack (deg)</t>
  </si>
  <si>
    <t>Nose Cone Length (cm)</t>
  </si>
  <si>
    <t>Height (cm)</t>
  </si>
  <si>
    <t>Dart Parachute</t>
  </si>
  <si>
    <t>Max Angle of Attack (deg)</t>
  </si>
  <si>
    <t>Leading Edge Taper Length (cm)</t>
  </si>
  <si>
    <t>Shock Cord</t>
  </si>
  <si>
    <t>Angle of Attack Increment (deg)</t>
  </si>
  <si>
    <t>Trailing Edge Taper Length (cm)</t>
  </si>
  <si>
    <t>Avionics Dart</t>
  </si>
  <si>
    <t>Fin Resolution</t>
  </si>
  <si>
    <t>Leading Edge Distance from nose tip (cm)</t>
  </si>
  <si>
    <t>Load Ring</t>
  </si>
  <si>
    <t>Leading Edge Sweep Angle (deg)</t>
  </si>
  <si>
    <t>Leading Taper End Sweep Angle (deg)</t>
  </si>
  <si>
    <t>Unspecified Weight</t>
  </si>
  <si>
    <t>Trailing Taper End Sweep Angle (deg)</t>
  </si>
  <si>
    <t>Tube Coupler</t>
  </si>
  <si>
    <t>Trailing Edge Sweep Angle (deg)</t>
  </si>
  <si>
    <t>Experimental Parachute</t>
  </si>
  <si>
    <t>Leading Edge Wedge Angle (deg)</t>
  </si>
  <si>
    <t>Booster 2 Parachute</t>
  </si>
  <si>
    <t>Trailing Edge Wedge Angle (deg)</t>
  </si>
  <si>
    <t>Avionics Booster 2</t>
  </si>
  <si>
    <t>Booster 1 Parachute</t>
  </si>
  <si>
    <t>Avionics Booster 1</t>
  </si>
  <si>
    <t>Nose Cone</t>
  </si>
  <si>
    <t>Booster 1 Fins</t>
  </si>
  <si>
    <t>Booster 2 Fins</t>
  </si>
  <si>
    <t>Dart Fins</t>
  </si>
  <si>
    <t>Booster 2 Motor (L2375)</t>
  </si>
  <si>
    <t>Booster 1 Motor (M3700)</t>
  </si>
  <si>
    <t>Min Stability (cal)</t>
  </si>
  <si>
    <t>Max Stability (cal)</t>
  </si>
  <si>
    <t>Body Density (g/cm^3)</t>
  </si>
  <si>
    <t>Body Outer Diameter (cm)</t>
  </si>
  <si>
    <t>Body Inner Diameter (cm)</t>
  </si>
  <si>
    <t>Stage 1 Length (cm)</t>
  </si>
  <si>
    <t>Stage 2 Length (cm)</t>
  </si>
  <si>
    <t>Stage 3 Length (cm)</t>
  </si>
  <si>
    <t>Number of 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</si>
</sst>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Alignment="1">
      <alignment horizontal="left" vertical="center"/>
    </xf>
    <xf numFmtId="0" fontId="2" fillId="0" borderId="6" xfId="0" applyFont="1" applyBorder="1"/>
    <xf numFmtId="0" fontId="0" fillId="2" borderId="0" xfId="0" applyFill="1"/>
    <xf numFmtId="0" fontId="2" fillId="0" borderId="6" xfId="0" applyFont="1" applyBorder="1" applyAlignment="1">
      <alignment horizontal="right" vertical="center"/>
    </xf>
    <xf numFmtId="0" fontId="0" fillId="2" borderId="6" xfId="0" applyFill="1" applyBorder="1"/>
    <xf numFmtId="0" fontId="1" fillId="0" borderId="6" xfId="0" applyFont="1" applyBorder="1" applyAlignment="1">
      <alignment horizontal="right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10" xfId="0" applyFont="1" applyBorder="1" applyAlignment="1">
      <alignment horizontal="right" wrapText="1"/>
    </xf>
    <xf numFmtId="0" fontId="1" fillId="0" borderId="11" xfId="0" applyFont="1" applyBorder="1" applyAlignment="1">
      <alignment horizontal="right" wrapText="1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"/>
  <sheetViews>
    <sheetView tabSelected="1" workbookViewId="0">
      <selection activeCell="B8" sqref="B8"/>
    </sheetView>
  </sheetViews>
  <sheetFormatPr defaultColWidth="14.44140625" defaultRowHeight="15" customHeight="1" x14ac:dyDescent="0.3"/>
  <cols>
    <col min="1" max="1" width="28" customWidth="1"/>
    <col min="2" max="2" width="7.5546875" customWidth="1"/>
    <col min="3" max="3" width="27.5546875" customWidth="1"/>
    <col min="4" max="4" width="7" customWidth="1"/>
    <col min="5" max="5" width="36.33203125" customWidth="1"/>
    <col min="6" max="8" width="8.44140625" customWidth="1"/>
    <col min="9" max="9" width="22.109375" bestFit="1" customWidth="1"/>
    <col min="10" max="10" width="8.33203125" customWidth="1"/>
    <col min="11" max="11" width="11.33203125" customWidth="1"/>
    <col min="12" max="12" width="27.33203125" customWidth="1"/>
    <col min="13" max="26" width="8.6640625" customWidth="1"/>
  </cols>
  <sheetData>
    <row r="1" spans="1:12" ht="14.25" customHeight="1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13" t="s">
        <v>4</v>
      </c>
      <c r="F1" s="14" t="s">
        <v>5</v>
      </c>
      <c r="G1" s="14" t="s">
        <v>6</v>
      </c>
      <c r="H1" s="15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 x14ac:dyDescent="0.3">
      <c r="A2" s="4" t="s">
        <v>12</v>
      </c>
      <c r="B2" s="5">
        <v>0</v>
      </c>
      <c r="C2" s="4" t="s">
        <v>56</v>
      </c>
      <c r="D2" s="8">
        <v>7.92</v>
      </c>
      <c r="E2" s="8" t="s">
        <v>13</v>
      </c>
      <c r="F2" s="12">
        <v>4</v>
      </c>
      <c r="G2" s="12">
        <v>4</v>
      </c>
      <c r="H2" s="16">
        <v>4</v>
      </c>
      <c r="I2" s="4" t="s">
        <v>14</v>
      </c>
      <c r="J2" s="18">
        <v>20</v>
      </c>
      <c r="K2" s="18">
        <v>2.5</v>
      </c>
      <c r="L2" s="18">
        <f>3.6+2.5/2</f>
        <v>4.8499999999999996</v>
      </c>
    </row>
    <row r="3" spans="1:12" ht="14.25" customHeight="1" x14ac:dyDescent="0.3">
      <c r="A3" s="4" t="s">
        <v>15</v>
      </c>
      <c r="B3" s="6">
        <v>2</v>
      </c>
      <c r="C3" t="s">
        <v>57</v>
      </c>
      <c r="D3">
        <v>7.62</v>
      </c>
      <c r="E3" s="8" t="s">
        <v>16</v>
      </c>
      <c r="F3" s="12">
        <v>12</v>
      </c>
      <c r="G3" s="12">
        <v>17</v>
      </c>
      <c r="H3" s="17">
        <v>18.5</v>
      </c>
      <c r="I3" s="4" t="s">
        <v>17</v>
      </c>
      <c r="J3" s="18">
        <v>12</v>
      </c>
      <c r="K3" s="18">
        <v>2.5</v>
      </c>
      <c r="L3" s="18">
        <f>9+2.5/2</f>
        <v>10.25</v>
      </c>
    </row>
    <row r="4" spans="1:12" ht="14.25" customHeight="1" x14ac:dyDescent="0.3">
      <c r="A4" s="4" t="s">
        <v>18</v>
      </c>
      <c r="B4" s="6">
        <v>0.01</v>
      </c>
      <c r="C4" s="4" t="s">
        <v>22</v>
      </c>
      <c r="D4" s="8">
        <v>38</v>
      </c>
      <c r="E4" s="8" t="s">
        <v>19</v>
      </c>
      <c r="F4" s="12">
        <v>7</v>
      </c>
      <c r="G4" s="12">
        <v>6</v>
      </c>
      <c r="H4" s="17">
        <v>8.89</v>
      </c>
      <c r="I4" s="4" t="s">
        <v>47</v>
      </c>
      <c r="J4" s="19">
        <v>243</v>
      </c>
      <c r="K4" s="19">
        <v>38</v>
      </c>
      <c r="L4" s="19">
        <v>19.18</v>
      </c>
    </row>
    <row r="5" spans="1:12" ht="14.25" customHeight="1" x14ac:dyDescent="0.3">
      <c r="A5" s="4" t="s">
        <v>21</v>
      </c>
      <c r="B5" s="6">
        <v>0</v>
      </c>
      <c r="C5" s="4" t="s">
        <v>55</v>
      </c>
      <c r="D5" s="21">
        <v>1.99</v>
      </c>
      <c r="E5" s="8" t="s">
        <v>23</v>
      </c>
      <c r="F5" s="12">
        <v>8</v>
      </c>
      <c r="G5" s="12">
        <v>12.7</v>
      </c>
      <c r="H5" s="17">
        <v>14.5</v>
      </c>
      <c r="I5" s="4" t="s">
        <v>20</v>
      </c>
      <c r="J5" s="18">
        <v>7.98</v>
      </c>
      <c r="K5" s="18">
        <v>12.7</v>
      </c>
      <c r="L5" s="18">
        <f>38+12.7/2</f>
        <v>44.35</v>
      </c>
    </row>
    <row r="6" spans="1:12" ht="14.25" customHeight="1" x14ac:dyDescent="0.3">
      <c r="A6" s="4" t="s">
        <v>25</v>
      </c>
      <c r="B6" s="6">
        <v>5</v>
      </c>
      <c r="C6" s="7" t="s">
        <v>31</v>
      </c>
      <c r="D6" s="10">
        <v>300</v>
      </c>
      <c r="E6" s="8" t="s">
        <v>26</v>
      </c>
      <c r="F6" s="12">
        <v>1.143</v>
      </c>
      <c r="G6" s="12">
        <v>1.143</v>
      </c>
      <c r="H6" s="17">
        <v>1.143</v>
      </c>
      <c r="I6" s="4" t="s">
        <v>24</v>
      </c>
      <c r="J6" s="18">
        <v>160</v>
      </c>
      <c r="K6" s="18">
        <v>24</v>
      </c>
      <c r="L6" s="18">
        <f>51+24/2</f>
        <v>63</v>
      </c>
    </row>
    <row r="7" spans="1:12" ht="14.25" customHeight="1" x14ac:dyDescent="0.3">
      <c r="A7" s="4" t="s">
        <v>28</v>
      </c>
      <c r="B7" s="6">
        <v>0.1</v>
      </c>
      <c r="C7" s="4" t="s">
        <v>61</v>
      </c>
      <c r="D7" s="8">
        <v>3</v>
      </c>
      <c r="E7" s="8" t="s">
        <v>29</v>
      </c>
      <c r="F7" s="12">
        <v>1.143</v>
      </c>
      <c r="G7" s="12">
        <v>1.143</v>
      </c>
      <c r="H7" s="17">
        <v>1.143</v>
      </c>
      <c r="I7" s="4" t="s">
        <v>27</v>
      </c>
      <c r="J7" s="18">
        <v>100</v>
      </c>
      <c r="K7" s="18">
        <v>5.08</v>
      </c>
      <c r="L7" s="18">
        <f>75.3+5.08/2</f>
        <v>77.84</v>
      </c>
    </row>
    <row r="8" spans="1:12" ht="14.4" x14ac:dyDescent="0.3">
      <c r="A8" s="4" t="s">
        <v>53</v>
      </c>
      <c r="B8" s="6">
        <v>0</v>
      </c>
      <c r="C8" s="4" t="s">
        <v>58</v>
      </c>
      <c r="D8" s="21">
        <v>121</v>
      </c>
      <c r="E8" s="8" t="s">
        <v>32</v>
      </c>
      <c r="F8" s="12">
        <v>136</v>
      </c>
      <c r="G8" s="12">
        <v>258</v>
      </c>
      <c r="H8" s="17">
        <v>427</v>
      </c>
      <c r="I8" s="4" t="s">
        <v>30</v>
      </c>
      <c r="J8" s="18">
        <v>1321</v>
      </c>
      <c r="K8" s="18">
        <v>39</v>
      </c>
      <c r="L8" s="18">
        <f>82.6+(39)/2</f>
        <v>102.1</v>
      </c>
    </row>
    <row r="9" spans="1:12" ht="14.25" customHeight="1" x14ac:dyDescent="0.3">
      <c r="A9" s="4" t="s">
        <v>54</v>
      </c>
      <c r="B9" s="6">
        <v>5</v>
      </c>
      <c r="C9" s="4" t="s">
        <v>59</v>
      </c>
      <c r="D9" s="21">
        <v>126</v>
      </c>
      <c r="E9" s="8" t="s">
        <v>34</v>
      </c>
      <c r="F9" s="12">
        <v>17.7</v>
      </c>
      <c r="G9" s="12">
        <v>30.4</v>
      </c>
      <c r="H9" s="17">
        <v>23.2</v>
      </c>
      <c r="I9" s="4" t="s">
        <v>33</v>
      </c>
      <c r="J9" s="18">
        <v>29.6</v>
      </c>
      <c r="K9" s="18">
        <v>4</v>
      </c>
      <c r="L9" s="18">
        <f>122+4/2</f>
        <v>124</v>
      </c>
    </row>
    <row r="10" spans="1:12" ht="14.25" customHeight="1" x14ac:dyDescent="0.3">
      <c r="A10" s="9"/>
      <c r="B10" s="9"/>
      <c r="C10" s="4" t="s">
        <v>60</v>
      </c>
      <c r="D10" s="21">
        <v>161</v>
      </c>
      <c r="E10" s="8" t="s">
        <v>35</v>
      </c>
      <c r="F10" s="12">
        <v>17.7</v>
      </c>
      <c r="G10" s="12">
        <v>30.4</v>
      </c>
      <c r="H10" s="17">
        <v>23.2</v>
      </c>
      <c r="I10" s="4" t="s">
        <v>27</v>
      </c>
      <c r="J10" s="18">
        <v>100</v>
      </c>
      <c r="K10" s="18">
        <v>5.08</v>
      </c>
      <c r="L10" s="18">
        <f>122+5.08/2</f>
        <v>124.54</v>
      </c>
    </row>
    <row r="11" spans="1:12" ht="14.25" customHeight="1" x14ac:dyDescent="0.3">
      <c r="A11" s="9"/>
      <c r="B11" s="9"/>
      <c r="C11" s="9"/>
      <c r="D11" s="11"/>
      <c r="E11" s="8" t="s">
        <v>37</v>
      </c>
      <c r="F11" s="12">
        <v>-17</v>
      </c>
      <c r="G11" s="12">
        <v>-15.6</v>
      </c>
      <c r="H11" s="17">
        <v>-13.2</v>
      </c>
      <c r="I11" s="4" t="s">
        <v>36</v>
      </c>
      <c r="J11" s="18">
        <v>100</v>
      </c>
      <c r="K11" s="18">
        <v>7.62</v>
      </c>
      <c r="L11" s="18">
        <f>122+7.62/2</f>
        <v>125.81</v>
      </c>
    </row>
    <row r="12" spans="1:12" ht="14.25" customHeight="1" x14ac:dyDescent="0.3">
      <c r="A12" s="9"/>
      <c r="B12" s="9"/>
      <c r="C12" s="9"/>
      <c r="D12" s="11"/>
      <c r="E12" s="8" t="s">
        <v>39</v>
      </c>
      <c r="F12" s="12">
        <v>-17</v>
      </c>
      <c r="G12" s="12">
        <v>-15.6</v>
      </c>
      <c r="H12" s="17">
        <v>-13.2</v>
      </c>
      <c r="I12" s="4" t="s">
        <v>50</v>
      </c>
      <c r="J12" s="19">
        <v>390</v>
      </c>
      <c r="K12" s="19">
        <v>12</v>
      </c>
      <c r="L12" s="18">
        <f>6.02+136</f>
        <v>142.02000000000001</v>
      </c>
    </row>
    <row r="13" spans="1:12" ht="14.25" customHeight="1" x14ac:dyDescent="0.3">
      <c r="A13" s="9"/>
      <c r="B13" s="9"/>
      <c r="C13" s="9"/>
      <c r="D13" s="11"/>
      <c r="E13" s="8" t="s">
        <v>41</v>
      </c>
      <c r="F13" s="12">
        <v>10</v>
      </c>
      <c r="G13" s="12">
        <v>10</v>
      </c>
      <c r="H13" s="17">
        <v>10</v>
      </c>
      <c r="I13" s="4" t="s">
        <v>38</v>
      </c>
      <c r="J13" s="18">
        <v>300</v>
      </c>
      <c r="K13" s="18">
        <v>33</v>
      </c>
      <c r="L13" s="18">
        <f>126+33/2</f>
        <v>142.5</v>
      </c>
    </row>
    <row r="14" spans="1:12" ht="14.25" customHeight="1" x14ac:dyDescent="0.3">
      <c r="A14" s="9"/>
      <c r="B14" s="9"/>
      <c r="C14" s="9"/>
      <c r="D14" s="11"/>
      <c r="E14" s="8" t="s">
        <v>43</v>
      </c>
      <c r="F14" s="12">
        <v>10</v>
      </c>
      <c r="G14" s="12">
        <v>10</v>
      </c>
      <c r="H14" s="17">
        <v>10</v>
      </c>
      <c r="I14" s="4" t="s">
        <v>40</v>
      </c>
      <c r="J14" s="18">
        <v>302</v>
      </c>
      <c r="K14" s="18">
        <v>25.4</v>
      </c>
      <c r="L14" s="18">
        <f>130+25.4/2</f>
        <v>142.69999999999999</v>
      </c>
    </row>
    <row r="15" spans="1:12" ht="14.4" x14ac:dyDescent="0.3">
      <c r="A15" s="9"/>
      <c r="B15" s="9"/>
      <c r="C15" s="9"/>
      <c r="D15" s="9"/>
      <c r="E15" s="9"/>
      <c r="F15" s="9"/>
      <c r="G15" s="9"/>
      <c r="H15" s="9"/>
      <c r="I15" s="4" t="s">
        <v>42</v>
      </c>
      <c r="J15" s="18">
        <v>600</v>
      </c>
      <c r="K15" s="18">
        <v>18.3</v>
      </c>
      <c r="L15" s="18">
        <f>159+18.3/2</f>
        <v>168.15</v>
      </c>
    </row>
    <row r="16" spans="1:12" ht="14.25" customHeight="1" x14ac:dyDescent="0.3">
      <c r="A16" s="9"/>
      <c r="B16" s="9"/>
      <c r="C16" s="9"/>
      <c r="D16" s="9"/>
      <c r="E16" s="9"/>
      <c r="F16" s="9"/>
      <c r="G16" s="9"/>
      <c r="H16" s="9"/>
      <c r="I16" s="4" t="s">
        <v>27</v>
      </c>
      <c r="J16" s="18">
        <v>454</v>
      </c>
      <c r="K16" s="18">
        <v>5.08</v>
      </c>
      <c r="L16" s="18">
        <f>178+5.08/2</f>
        <v>180.54</v>
      </c>
    </row>
    <row r="17" spans="1:12" ht="14.25" customHeight="1" x14ac:dyDescent="0.3">
      <c r="A17" s="9"/>
      <c r="B17" s="9"/>
      <c r="C17" s="9"/>
      <c r="D17" s="9"/>
      <c r="E17" s="9"/>
      <c r="F17" s="9"/>
      <c r="G17" s="9"/>
      <c r="H17" s="9"/>
      <c r="I17" s="4" t="s">
        <v>44</v>
      </c>
      <c r="J17" s="18">
        <v>1245</v>
      </c>
      <c r="K17" s="18">
        <v>27.9</v>
      </c>
      <c r="L17" s="18">
        <f>183+27.9/2</f>
        <v>196.95</v>
      </c>
    </row>
    <row r="18" spans="1:12" ht="14.25" customHeight="1" x14ac:dyDescent="0.3">
      <c r="A18" s="9"/>
      <c r="B18" s="9"/>
      <c r="C18" s="9"/>
      <c r="D18" s="9"/>
      <c r="E18" s="9"/>
      <c r="F18" s="9"/>
      <c r="G18" s="9"/>
      <c r="H18" s="9"/>
      <c r="I18" s="4" t="s">
        <v>51</v>
      </c>
      <c r="J18" s="18">
        <v>4161</v>
      </c>
      <c r="K18" s="18">
        <v>62.1</v>
      </c>
      <c r="L18" s="18">
        <f>38+67.8+2+40+48+2+77+11-62.1/2</f>
        <v>254.75</v>
      </c>
    </row>
    <row r="19" spans="1:12" ht="14.25" customHeight="1" x14ac:dyDescent="0.3">
      <c r="A19" s="9"/>
      <c r="B19" s="9"/>
      <c r="C19" s="9"/>
      <c r="D19" s="9"/>
      <c r="E19" s="9"/>
      <c r="F19" s="9"/>
      <c r="G19" s="9"/>
      <c r="H19" s="9"/>
      <c r="I19" s="8" t="s">
        <v>49</v>
      </c>
      <c r="J19" s="19">
        <v>749</v>
      </c>
      <c r="K19" s="19">
        <v>17</v>
      </c>
      <c r="L19" s="18">
        <f>9.32+258</f>
        <v>267.32</v>
      </c>
    </row>
    <row r="20" spans="1:12" ht="14.25" customHeight="1" x14ac:dyDescent="0.3">
      <c r="A20" s="9"/>
      <c r="B20" s="9"/>
      <c r="C20" s="9"/>
      <c r="D20" s="9"/>
      <c r="E20" s="9"/>
      <c r="F20" s="9"/>
      <c r="G20" s="9"/>
      <c r="H20" s="9"/>
      <c r="I20" s="4" t="s">
        <v>38</v>
      </c>
      <c r="J20" s="18">
        <f>74.1+74.1+10.769</f>
        <v>158.96899999999999</v>
      </c>
      <c r="K20" s="18">
        <v>20</v>
      </c>
      <c r="L20" s="18">
        <f>275+(10+10)/2</f>
        <v>285</v>
      </c>
    </row>
    <row r="21" spans="1:12" ht="14.25" customHeight="1" x14ac:dyDescent="0.3">
      <c r="A21" s="9"/>
      <c r="B21" s="9"/>
      <c r="C21" s="9"/>
      <c r="D21" s="9"/>
      <c r="E21" s="9"/>
      <c r="F21" s="9"/>
      <c r="G21" s="9"/>
      <c r="H21" s="9"/>
      <c r="I21" s="4" t="s">
        <v>45</v>
      </c>
      <c r="J21" s="18">
        <v>600</v>
      </c>
      <c r="K21" s="18">
        <v>25.4</v>
      </c>
      <c r="L21" s="18">
        <f>297+25.4/2</f>
        <v>309.7</v>
      </c>
    </row>
    <row r="22" spans="1:12" ht="14.25" customHeight="1" x14ac:dyDescent="0.3">
      <c r="A22" s="9"/>
      <c r="B22" s="9"/>
      <c r="C22" s="9"/>
      <c r="D22" s="9"/>
      <c r="E22" s="9"/>
      <c r="F22" s="9"/>
      <c r="G22" s="9"/>
      <c r="H22" s="9"/>
      <c r="I22" s="4" t="s">
        <v>27</v>
      </c>
      <c r="J22" s="18">
        <v>454</v>
      </c>
      <c r="K22" s="18">
        <v>5.08</v>
      </c>
      <c r="L22" s="18">
        <f>323+5.08/2</f>
        <v>325.54000000000002</v>
      </c>
    </row>
    <row r="23" spans="1:12" ht="14.25" customHeight="1" x14ac:dyDescent="0.3">
      <c r="A23" s="9"/>
      <c r="B23" s="9"/>
      <c r="C23" s="9"/>
      <c r="D23" s="9"/>
      <c r="E23" s="9"/>
      <c r="F23" s="9"/>
      <c r="G23" s="9"/>
      <c r="H23" s="9"/>
      <c r="I23" s="4" t="s">
        <v>46</v>
      </c>
      <c r="J23" s="18">
        <v>1245</v>
      </c>
      <c r="K23" s="18">
        <v>27.9</v>
      </c>
      <c r="L23" s="18">
        <f>330+27.9/2</f>
        <v>343.95</v>
      </c>
    </row>
    <row r="24" spans="1:12" ht="14.25" customHeight="1" x14ac:dyDescent="0.3">
      <c r="A24" s="9"/>
      <c r="B24" s="9"/>
      <c r="C24" s="9"/>
      <c r="D24" s="9"/>
      <c r="E24" s="9"/>
      <c r="F24" s="9"/>
      <c r="G24" s="9"/>
      <c r="H24" s="9"/>
      <c r="I24" s="4" t="s">
        <v>52</v>
      </c>
      <c r="J24" s="18">
        <v>5779</v>
      </c>
      <c r="K24" s="18">
        <v>80.3</v>
      </c>
      <c r="L24" s="18">
        <f>446+1-80.3/2</f>
        <v>406.85</v>
      </c>
    </row>
    <row r="25" spans="1:12" ht="14.25" customHeight="1" x14ac:dyDescent="0.3">
      <c r="A25" s="9"/>
      <c r="B25" s="9"/>
      <c r="C25" s="9"/>
      <c r="D25" s="9"/>
      <c r="E25" s="9"/>
      <c r="F25" s="9"/>
      <c r="G25" s="9"/>
      <c r="H25" s="9"/>
      <c r="I25" s="4" t="s">
        <v>48</v>
      </c>
      <c r="J25" s="18">
        <v>1018</v>
      </c>
      <c r="K25" s="18">
        <v>18.5</v>
      </c>
      <c r="L25" s="20">
        <f>9.87+427</f>
        <v>436.87</v>
      </c>
    </row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Holt</dc:creator>
  <cp:lastModifiedBy>Graham Holt</cp:lastModifiedBy>
  <dcterms:created xsi:type="dcterms:W3CDTF">2023-09-03T15:28:03Z</dcterms:created>
  <dcterms:modified xsi:type="dcterms:W3CDTF">2024-04-08T16:11:56Z</dcterms:modified>
</cp:coreProperties>
</file>