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rhfa\Desktop\Zephyr-MK2\"/>
    </mc:Choice>
  </mc:AlternateContent>
  <xr:revisionPtr revIDLastSave="0" documentId="13_ncr:1_{A4B01A86-D215-4898-920A-018F42321C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KdzMtP/nKjO7Mc4XM9WigezNcq1OhBGBmX2ggQ9abs="/>
    </ext>
  </extLst>
</workbook>
</file>

<file path=xl/calcChain.xml><?xml version="1.0" encoding="utf-8"?>
<calcChain xmlns="http://schemas.openxmlformats.org/spreadsheetml/2006/main">
  <c r="K17" i="1" l="1"/>
  <c r="K18" i="1"/>
  <c r="I16" i="1"/>
  <c r="K16" i="1"/>
  <c r="K15" i="1"/>
  <c r="K14" i="1"/>
  <c r="K13" i="1"/>
  <c r="K11" i="1"/>
  <c r="K12" i="1"/>
  <c r="K10" i="1"/>
  <c r="K9" i="1"/>
  <c r="I9" i="1"/>
  <c r="K8" i="1"/>
  <c r="K7" i="1"/>
  <c r="K4" i="1"/>
  <c r="K5" i="1"/>
  <c r="K3" i="1"/>
  <c r="K6" i="1"/>
</calcChain>
</file>

<file path=xl/sharedStrings.xml><?xml version="1.0" encoding="utf-8"?>
<sst xmlns="http://schemas.openxmlformats.org/spreadsheetml/2006/main" count="59" uniqueCount="57">
  <si>
    <t>Setup</t>
  </si>
  <si>
    <t>Body Dims</t>
  </si>
  <si>
    <t>Fin Dims</t>
  </si>
  <si>
    <t>Fin Set 1</t>
  </si>
  <si>
    <t>Fin Set 2</t>
  </si>
  <si>
    <t>Point-Mass Distribution</t>
  </si>
  <si>
    <t>Mass (g)</t>
  </si>
  <si>
    <t>Length (cm)</t>
  </si>
  <si>
    <t>CG distance from nose tip (cm)</t>
  </si>
  <si>
    <t>Min Velocity (Mach)</t>
  </si>
  <si>
    <t>Number of Fins</t>
  </si>
  <si>
    <t>Ballast Weight</t>
  </si>
  <si>
    <t>Max Velocity (Mach)</t>
  </si>
  <si>
    <t>Root Chord (cm)</t>
  </si>
  <si>
    <t>Camera</t>
  </si>
  <si>
    <t>Velocity Increment (Mach)</t>
  </si>
  <si>
    <t>Tip Chord (cm)</t>
  </si>
  <si>
    <t>Min Angle of Attack (deg)</t>
  </si>
  <si>
    <t>Nose Cone Length (cm)</t>
  </si>
  <si>
    <t>Height (cm)</t>
  </si>
  <si>
    <t>Max Angle of Attack (deg)</t>
  </si>
  <si>
    <t>Leading Edge Taper Length (cm)</t>
  </si>
  <si>
    <t>Shock Cord</t>
  </si>
  <si>
    <t>Angle of Attack Increment (deg)</t>
  </si>
  <si>
    <t>Trailing Edge Taper Length (cm)</t>
  </si>
  <si>
    <t>Fin Resolution</t>
  </si>
  <si>
    <t>Leading Edge Distance from nose tip (cm)</t>
  </si>
  <si>
    <t>Leading Edge Sweep Angle (deg)</t>
  </si>
  <si>
    <t>Leading Taper End Sweep Angle (deg)</t>
  </si>
  <si>
    <t>Trailing Taper End Sweep Angle (deg)</t>
  </si>
  <si>
    <t>Trailing Edge Sweep Angle (deg)</t>
  </si>
  <si>
    <t>Experimental Parachute</t>
  </si>
  <si>
    <t>Leading Edge Wedge Angle (deg)</t>
  </si>
  <si>
    <t>Booster 2 Parachute</t>
  </si>
  <si>
    <t>Trailing Edge Wedge Angle (deg)</t>
  </si>
  <si>
    <t>Nose Cone</t>
  </si>
  <si>
    <t>Booster 2 Fins</t>
  </si>
  <si>
    <t>Dart Fins</t>
  </si>
  <si>
    <t>Min Stability (cal)</t>
  </si>
  <si>
    <t>Max Stability (cal)</t>
  </si>
  <si>
    <t>Body Density (g/cm^3)</t>
  </si>
  <si>
    <t>Body Outer Diameter (cm)</t>
  </si>
  <si>
    <t>Body Inner Diameter (cm)</t>
  </si>
  <si>
    <t>Stage 1 Length (cm)</t>
  </si>
  <si>
    <t>Stage 2 Length (cm)</t>
  </si>
  <si>
    <t>Number of Stages</t>
  </si>
  <si>
    <t>Dart Avionics</t>
  </si>
  <si>
    <t>Booster 2 Avionics</t>
  </si>
  <si>
    <t>Booster 2 Motor (L2200G)</t>
  </si>
  <si>
    <t>Fin Thickness (cm)</t>
  </si>
  <si>
    <t>Drough Parachute</t>
  </si>
  <si>
    <t>Main Dart Parachute</t>
  </si>
  <si>
    <t>Coupler Tube</t>
  </si>
  <si>
    <t>Ambient Pressure (bar)</t>
  </si>
  <si>
    <t>Specific Heat Ratio</t>
  </si>
  <si>
    <r>
      <t>Ambient Temperature (</t>
    </r>
    <r>
      <rPr>
        <sz val="11"/>
        <color theme="1"/>
        <rFont val="Calibri"/>
        <family val="2"/>
      </rPr>
      <t>°</t>
    </r>
    <r>
      <rPr>
        <sz val="11.1"/>
        <color theme="1"/>
        <rFont val="Calibri"/>
        <family val="2"/>
      </rPr>
      <t>C</t>
    </r>
    <r>
      <rPr>
        <sz val="11"/>
        <color theme="1"/>
        <rFont val="Calibri"/>
        <scheme val="minor"/>
      </rPr>
      <t>)</t>
    </r>
  </si>
  <si>
    <t>Gas Constant (J/kgK)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</si>
</sst>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sz val="11.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0" fontId="0" fillId="2" borderId="1" xfId="0" applyFill="1" applyBorder="1"/>
    <xf numFmtId="0" fontId="3" fillId="0" borderId="1" xfId="0" applyFont="1" applyBorder="1" applyAlignment="1">
      <alignment horizontal="right" wrapText="1"/>
    </xf>
    <xf numFmtId="0" fontId="4" fillId="0" borderId="2" xfId="0" applyFont="1" applyBorder="1"/>
    <xf numFmtId="0" fontId="4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3"/>
  <sheetViews>
    <sheetView tabSelected="1" zoomScale="101" zoomScaleNormal="100" workbookViewId="0">
      <selection activeCell="D8" sqref="D8"/>
    </sheetView>
  </sheetViews>
  <sheetFormatPr defaultColWidth="14.44140625" defaultRowHeight="15" customHeight="1" x14ac:dyDescent="0.3"/>
  <cols>
    <col min="1" max="1" width="28.21875" style="7" bestFit="1" customWidth="1"/>
    <col min="2" max="2" width="8.6640625" style="7" bestFit="1" customWidth="1"/>
    <col min="3" max="3" width="23.5546875" style="7" bestFit="1" customWidth="1"/>
    <col min="4" max="4" width="6.77734375" style="7" bestFit="1" customWidth="1"/>
    <col min="5" max="5" width="36.33203125" style="7" customWidth="1"/>
    <col min="6" max="7" width="8.109375" style="7" bestFit="1" customWidth="1"/>
    <col min="8" max="8" width="23.6640625" style="7" bestFit="1" customWidth="1"/>
    <col min="9" max="9" width="8.21875" style="7" bestFit="1" customWidth="1"/>
    <col min="10" max="10" width="11" style="7" bestFit="1" customWidth="1"/>
    <col min="11" max="11" width="27.33203125" style="7" customWidth="1"/>
    <col min="12" max="25" width="8.6640625" customWidth="1"/>
  </cols>
  <sheetData>
    <row r="1" spans="1:11" ht="14.25" customHeight="1" thickBot="1" x14ac:dyDescent="0.35">
      <c r="A1" s="11" t="s">
        <v>0</v>
      </c>
      <c r="B1" s="12"/>
      <c r="C1" s="13" t="s">
        <v>1</v>
      </c>
      <c r="D1" s="12"/>
      <c r="E1" s="13" t="s">
        <v>2</v>
      </c>
      <c r="F1" s="11"/>
      <c r="G1" s="11"/>
      <c r="H1" s="13" t="s">
        <v>5</v>
      </c>
      <c r="I1" s="11"/>
      <c r="J1" s="11"/>
      <c r="K1" s="11"/>
    </row>
    <row r="2" spans="1:11" ht="14.25" customHeight="1" thickBot="1" x14ac:dyDescent="0.35">
      <c r="A2" s="7" t="s">
        <v>54</v>
      </c>
      <c r="B2" s="7">
        <v>1.4</v>
      </c>
      <c r="C2" s="1" t="s">
        <v>41</v>
      </c>
      <c r="D2" s="1">
        <v>7.92</v>
      </c>
      <c r="E2" s="3"/>
      <c r="F2" s="5" t="s">
        <v>3</v>
      </c>
      <c r="G2" s="5" t="s">
        <v>4</v>
      </c>
      <c r="H2" s="3"/>
      <c r="I2" s="5" t="s">
        <v>6</v>
      </c>
      <c r="J2" s="5" t="s">
        <v>7</v>
      </c>
      <c r="K2" s="5" t="s">
        <v>8</v>
      </c>
    </row>
    <row r="3" spans="1:11" ht="14.25" customHeight="1" x14ac:dyDescent="0.3">
      <c r="A3" s="7" t="s">
        <v>56</v>
      </c>
      <c r="B3" s="7">
        <v>287</v>
      </c>
      <c r="C3" s="7" t="s">
        <v>42</v>
      </c>
      <c r="D3" s="7">
        <v>7.62</v>
      </c>
      <c r="E3" s="1" t="s">
        <v>10</v>
      </c>
      <c r="F3" s="4">
        <v>4</v>
      </c>
      <c r="G3" s="4">
        <v>4</v>
      </c>
      <c r="H3" s="1" t="s">
        <v>11</v>
      </c>
      <c r="I3" s="6">
        <v>425</v>
      </c>
      <c r="J3" s="6">
        <v>2.5</v>
      </c>
      <c r="K3" s="6">
        <f>3.6+J3/2</f>
        <v>4.8499999999999996</v>
      </c>
    </row>
    <row r="4" spans="1:11" ht="14.25" customHeight="1" x14ac:dyDescent="0.3">
      <c r="A4" s="7" t="s">
        <v>53</v>
      </c>
      <c r="B4" s="7">
        <v>1.01325</v>
      </c>
      <c r="C4" s="1" t="s">
        <v>18</v>
      </c>
      <c r="D4" s="1">
        <v>38</v>
      </c>
      <c r="E4" s="1" t="s">
        <v>13</v>
      </c>
      <c r="F4" s="4">
        <v>12</v>
      </c>
      <c r="G4" s="4">
        <v>17</v>
      </c>
      <c r="H4" s="1" t="s">
        <v>14</v>
      </c>
      <c r="I4" s="6">
        <v>0</v>
      </c>
      <c r="J4" s="6">
        <v>2.5</v>
      </c>
      <c r="K4" s="6">
        <f>9+J4/2</f>
        <v>10.25</v>
      </c>
    </row>
    <row r="5" spans="1:11" ht="14.25" customHeight="1" x14ac:dyDescent="0.3">
      <c r="A5" s="10" t="s">
        <v>55</v>
      </c>
      <c r="B5" s="7">
        <v>15</v>
      </c>
      <c r="C5" s="1" t="s">
        <v>40</v>
      </c>
      <c r="D5" s="7">
        <v>1.99</v>
      </c>
      <c r="E5" s="1" t="s">
        <v>16</v>
      </c>
      <c r="F5" s="4">
        <v>7</v>
      </c>
      <c r="G5" s="4">
        <v>6</v>
      </c>
      <c r="H5" s="1" t="s">
        <v>35</v>
      </c>
      <c r="I5" s="6">
        <v>243</v>
      </c>
      <c r="J5" s="6">
        <v>38</v>
      </c>
      <c r="K5" s="6">
        <f>0+J5/2</f>
        <v>19</v>
      </c>
    </row>
    <row r="6" spans="1:11" ht="14.25" customHeight="1" x14ac:dyDescent="0.3">
      <c r="A6" s="1" t="s">
        <v>9</v>
      </c>
      <c r="B6" s="1">
        <v>0</v>
      </c>
      <c r="C6" s="9" t="s">
        <v>25</v>
      </c>
      <c r="D6" s="2">
        <v>100</v>
      </c>
      <c r="E6" s="1" t="s">
        <v>19</v>
      </c>
      <c r="F6" s="4">
        <v>8</v>
      </c>
      <c r="G6" s="4">
        <v>12.7</v>
      </c>
      <c r="H6" s="1" t="s">
        <v>50</v>
      </c>
      <c r="I6" s="6">
        <v>11.9</v>
      </c>
      <c r="J6" s="6">
        <v>12.7</v>
      </c>
      <c r="K6" s="6">
        <f>38+J6/2</f>
        <v>44.35</v>
      </c>
    </row>
    <row r="7" spans="1:11" ht="14.25" customHeight="1" x14ac:dyDescent="0.3">
      <c r="A7" s="1" t="s">
        <v>12</v>
      </c>
      <c r="B7" s="1">
        <v>2</v>
      </c>
      <c r="C7" s="1" t="s">
        <v>45</v>
      </c>
      <c r="D7" s="1">
        <v>2</v>
      </c>
      <c r="E7" s="1" t="s">
        <v>49</v>
      </c>
      <c r="F7" s="8">
        <v>0.7</v>
      </c>
      <c r="G7" s="8">
        <v>0.7</v>
      </c>
      <c r="H7" s="1" t="s">
        <v>51</v>
      </c>
      <c r="I7" s="6">
        <v>160</v>
      </c>
      <c r="J7" s="6">
        <v>24</v>
      </c>
      <c r="K7" s="6">
        <f>51+J7/2</f>
        <v>63</v>
      </c>
    </row>
    <row r="8" spans="1:11" ht="14.4" x14ac:dyDescent="0.3">
      <c r="A8" s="1" t="s">
        <v>15</v>
      </c>
      <c r="B8" s="1">
        <v>0.01</v>
      </c>
      <c r="C8" s="1" t="s">
        <v>43</v>
      </c>
      <c r="D8" s="7">
        <v>109.8</v>
      </c>
      <c r="E8" s="1" t="s">
        <v>21</v>
      </c>
      <c r="F8" s="4">
        <v>1</v>
      </c>
      <c r="G8" s="4">
        <v>1.5</v>
      </c>
      <c r="H8" s="1" t="s">
        <v>22</v>
      </c>
      <c r="I8" s="6">
        <v>100</v>
      </c>
      <c r="J8" s="6">
        <v>5.08</v>
      </c>
      <c r="K8" s="6">
        <f>75.3+J8/2</f>
        <v>77.84</v>
      </c>
    </row>
    <row r="9" spans="1:11" ht="14.25" customHeight="1" x14ac:dyDescent="0.3">
      <c r="A9" s="1" t="s">
        <v>17</v>
      </c>
      <c r="B9" s="1">
        <v>0</v>
      </c>
      <c r="C9" s="1" t="s">
        <v>44</v>
      </c>
      <c r="D9" s="7">
        <v>147.4</v>
      </c>
      <c r="E9" s="1" t="s">
        <v>24</v>
      </c>
      <c r="F9" s="4">
        <v>1</v>
      </c>
      <c r="G9" s="4">
        <v>1.5</v>
      </c>
      <c r="H9" s="1" t="s">
        <v>46</v>
      </c>
      <c r="I9" s="6">
        <f>22.6+900+98.4+300</f>
        <v>1321</v>
      </c>
      <c r="J9" s="6">
        <v>38.200000000000003</v>
      </c>
      <c r="K9" s="6">
        <f>82.6+J9/2</f>
        <v>101.69999999999999</v>
      </c>
    </row>
    <row r="10" spans="1:11" ht="14.25" customHeight="1" x14ac:dyDescent="0.3">
      <c r="A10" s="1" t="s">
        <v>20</v>
      </c>
      <c r="B10" s="1">
        <v>5</v>
      </c>
      <c r="C10" s="1"/>
      <c r="E10" s="1" t="s">
        <v>26</v>
      </c>
      <c r="F10" s="4">
        <v>136</v>
      </c>
      <c r="G10" s="4">
        <v>268</v>
      </c>
      <c r="H10" s="1" t="s">
        <v>22</v>
      </c>
      <c r="I10" s="6">
        <v>100</v>
      </c>
      <c r="J10" s="6">
        <v>15.2</v>
      </c>
      <c r="K10" s="6">
        <f>122+J10/2</f>
        <v>129.6</v>
      </c>
    </row>
    <row r="11" spans="1:11" ht="14.25" customHeight="1" x14ac:dyDescent="0.3">
      <c r="A11" s="1" t="s">
        <v>23</v>
      </c>
      <c r="B11" s="1">
        <v>0.1</v>
      </c>
      <c r="E11" s="1" t="s">
        <v>27</v>
      </c>
      <c r="F11" s="4">
        <v>19</v>
      </c>
      <c r="G11" s="4">
        <v>30</v>
      </c>
      <c r="H11" s="1" t="s">
        <v>37</v>
      </c>
      <c r="I11" s="6">
        <v>390</v>
      </c>
      <c r="J11" s="6">
        <v>12</v>
      </c>
      <c r="K11" s="6">
        <f>136+J11/2</f>
        <v>142</v>
      </c>
    </row>
    <row r="12" spans="1:11" ht="14.25" customHeight="1" x14ac:dyDescent="0.3">
      <c r="A12" s="1" t="s">
        <v>38</v>
      </c>
      <c r="B12" s="1">
        <v>0</v>
      </c>
      <c r="E12" s="1" t="s">
        <v>28</v>
      </c>
      <c r="F12" s="4">
        <v>19</v>
      </c>
      <c r="G12" s="4">
        <v>30</v>
      </c>
      <c r="H12" s="7" t="s">
        <v>52</v>
      </c>
      <c r="I12" s="6">
        <v>300</v>
      </c>
      <c r="J12" s="6">
        <v>33</v>
      </c>
      <c r="K12" s="6">
        <f>126+J12/2</f>
        <v>142.5</v>
      </c>
    </row>
    <row r="13" spans="1:11" ht="14.25" customHeight="1" x14ac:dyDescent="0.3">
      <c r="A13" s="1" t="s">
        <v>39</v>
      </c>
      <c r="B13" s="1">
        <v>6</v>
      </c>
      <c r="E13" s="1" t="s">
        <v>29</v>
      </c>
      <c r="F13" s="4">
        <v>19</v>
      </c>
      <c r="G13" s="4">
        <v>18</v>
      </c>
      <c r="H13" s="1" t="s">
        <v>31</v>
      </c>
      <c r="I13" s="6">
        <v>302</v>
      </c>
      <c r="J13" s="6">
        <v>20.3</v>
      </c>
      <c r="K13" s="6">
        <f>139+J13/2</f>
        <v>149.15</v>
      </c>
    </row>
    <row r="14" spans="1:11" ht="14.25" customHeight="1" x14ac:dyDescent="0.3">
      <c r="E14" s="1" t="s">
        <v>30</v>
      </c>
      <c r="F14" s="4">
        <v>19</v>
      </c>
      <c r="G14" s="4">
        <v>18</v>
      </c>
      <c r="H14" s="1" t="s">
        <v>33</v>
      </c>
      <c r="I14" s="6">
        <v>600</v>
      </c>
      <c r="J14" s="6">
        <v>20.9</v>
      </c>
      <c r="K14" s="6">
        <f>164+J14/2</f>
        <v>174.45</v>
      </c>
    </row>
    <row r="15" spans="1:11" ht="14.4" x14ac:dyDescent="0.3">
      <c r="E15" s="1" t="s">
        <v>32</v>
      </c>
      <c r="F15" s="4">
        <v>10</v>
      </c>
      <c r="G15" s="4">
        <v>10</v>
      </c>
      <c r="H15" s="1" t="s">
        <v>22</v>
      </c>
      <c r="I15" s="6">
        <v>454</v>
      </c>
      <c r="J15" s="6">
        <v>7.62</v>
      </c>
      <c r="K15" s="7">
        <f>185+J15/2</f>
        <v>188.81</v>
      </c>
    </row>
    <row r="16" spans="1:11" ht="14.25" customHeight="1" x14ac:dyDescent="0.3">
      <c r="E16" s="1" t="s">
        <v>34</v>
      </c>
      <c r="F16" s="4">
        <v>10</v>
      </c>
      <c r="G16" s="4">
        <v>10</v>
      </c>
      <c r="H16" s="1" t="s">
        <v>47</v>
      </c>
      <c r="I16" s="6">
        <f>22.6+900+22.6+300</f>
        <v>1245.2</v>
      </c>
      <c r="J16" s="6">
        <v>27.9</v>
      </c>
      <c r="K16" s="7">
        <f>193+J16/2</f>
        <v>206.95</v>
      </c>
    </row>
    <row r="17" spans="8:11" ht="14.25" customHeight="1" x14ac:dyDescent="0.3">
      <c r="H17" s="1" t="s">
        <v>48</v>
      </c>
      <c r="I17" s="6">
        <v>4751</v>
      </c>
      <c r="J17" s="6">
        <v>68.099999999999994</v>
      </c>
      <c r="K17" s="6">
        <f>295-J17/2</f>
        <v>260.95</v>
      </c>
    </row>
    <row r="18" spans="8:11" ht="14.25" customHeight="1" x14ac:dyDescent="0.3">
      <c r="H18" s="1" t="s">
        <v>36</v>
      </c>
      <c r="I18" s="6">
        <v>749</v>
      </c>
      <c r="J18" s="6">
        <v>17</v>
      </c>
      <c r="K18" s="6">
        <f>268+J18/2</f>
        <v>276.5</v>
      </c>
    </row>
    <row r="19" spans="8:11" ht="14.25" customHeight="1" x14ac:dyDescent="0.3"/>
    <row r="20" spans="8:11" ht="14.25" customHeight="1" x14ac:dyDescent="0.3">
      <c r="I20" s="6"/>
      <c r="J20" s="6"/>
      <c r="K20" s="6"/>
    </row>
    <row r="21" spans="8:11" ht="14.25" customHeight="1" x14ac:dyDescent="0.3"/>
    <row r="22" spans="8:11" ht="14.25" customHeight="1" x14ac:dyDescent="0.3"/>
    <row r="23" spans="8:11" ht="14.25" customHeight="1" x14ac:dyDescent="0.3"/>
    <row r="24" spans="8:11" ht="14.25" customHeight="1" x14ac:dyDescent="0.3"/>
    <row r="25" spans="8:11" ht="14.25" customHeight="1" x14ac:dyDescent="0.3"/>
    <row r="26" spans="8:11" ht="14.25" customHeight="1" x14ac:dyDescent="0.3"/>
    <row r="27" spans="8:11" ht="14.25" customHeight="1" x14ac:dyDescent="0.3"/>
    <row r="28" spans="8:11" ht="14.25" customHeight="1" x14ac:dyDescent="0.3"/>
    <row r="29" spans="8:11" ht="14.25" customHeight="1" x14ac:dyDescent="0.3"/>
    <row r="30" spans="8:11" ht="14.25" customHeight="1" x14ac:dyDescent="0.3"/>
    <row r="31" spans="8:11" ht="14.25" customHeight="1" x14ac:dyDescent="0.3"/>
    <row r="32" spans="8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</sheetData>
  <mergeCells count="4">
    <mergeCell ref="A1:B1"/>
    <mergeCell ref="C1:D1"/>
    <mergeCell ref="E1:G1"/>
    <mergeCell ref="H1:K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Holt</dc:creator>
  <cp:lastModifiedBy>Holt, Graham</cp:lastModifiedBy>
  <dcterms:created xsi:type="dcterms:W3CDTF">2023-09-03T15:28:03Z</dcterms:created>
  <dcterms:modified xsi:type="dcterms:W3CDTF">2025-04-19T02:16:32Z</dcterms:modified>
</cp:coreProperties>
</file>